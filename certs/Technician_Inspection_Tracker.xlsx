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dsinc-my.sharepoint.com/personal/samuel_cox_tdstelecom_com/Documents/"/>
    </mc:Choice>
  </mc:AlternateContent>
  <xr:revisionPtr revIDLastSave="22" documentId="8_{19BC915D-531D-4F9F-A5E0-0BED9261F02A}" xr6:coauthVersionLast="47" xr6:coauthVersionMax="47" xr10:uidLastSave="{6897CCB6-D126-43E3-8D8B-71817FEFA8AB}"/>
  <bookViews>
    <workbookView xWindow="-110" yWindow="-110" windowWidth="19420" windowHeight="10300" xr2:uid="{00000000-000D-0000-FFFF-FFFF00000000}"/>
  </bookViews>
  <sheets>
    <sheet name="Inspections" sheetId="1" r:id="rId1"/>
    <sheet name="Tech Roster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8" i="2"/>
  <c r="C9" i="2"/>
  <c r="C6" i="2"/>
  <c r="C3" i="2"/>
  <c r="B14" i="3"/>
  <c r="B13" i="3"/>
  <c r="B12" i="3"/>
  <c r="B11" i="3"/>
  <c r="B9" i="3"/>
  <c r="B8" i="3"/>
  <c r="B7" i="3"/>
  <c r="B6" i="3"/>
  <c r="B5" i="3"/>
  <c r="B4" i="3"/>
  <c r="B3" i="3"/>
  <c r="B2" i="3"/>
  <c r="B14" i="2"/>
  <c r="B13" i="2"/>
  <c r="B12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<sst xmlns="http://schemas.openxmlformats.org/spreadsheetml/2006/main" count="67" uniqueCount="28">
  <si>
    <t>Date</t>
  </si>
  <si>
    <t>Technician</t>
  </si>
  <si>
    <t>Notes</t>
  </si>
  <si>
    <t>JONATHAN HUDDLESTON</t>
  </si>
  <si>
    <t>JAKOB CARTWRIGHT</t>
  </si>
  <si>
    <t>NICHOLAS WRIGHT</t>
  </si>
  <si>
    <t>HARRISON BERKLEY</t>
  </si>
  <si>
    <t>BRUCE HOGAN</t>
  </si>
  <si>
    <t>JADE SAWICKI</t>
  </si>
  <si>
    <t>TREAGAN MCCOY</t>
  </si>
  <si>
    <t>FELIX LOBATO</t>
  </si>
  <si>
    <t>Cody Kuhl</t>
  </si>
  <si>
    <t>test</t>
  </si>
  <si>
    <t>JACK LONG</t>
  </si>
  <si>
    <t>MICHAEL STEGEMAN</t>
  </si>
  <si>
    <t>MICHAEL KNIGHT</t>
  </si>
  <si>
    <t>DAUNTE DEMARCE</t>
  </si>
  <si>
    <t>Blake (New Hire)</t>
  </si>
  <si>
    <t>Josh 1 (New Hire)</t>
  </si>
  <si>
    <t>Josh 2 ( New Hire)</t>
  </si>
  <si>
    <t>Travis (New)</t>
  </si>
  <si>
    <t>Inspected?</t>
  </si>
  <si>
    <t>Last Inspection Date</t>
  </si>
  <si>
    <t>How this works</t>
  </si>
  <si>
    <t>Enter inspection dates in the 'Inspections' sheet. When at least one date is entered for a tech, their row will turn green here and 'Inspected?' will show Yes. 'Last Inspection Date' shows the most recent date.</t>
  </si>
  <si>
    <t>Yes</t>
  </si>
  <si>
    <t>No</t>
  </si>
  <si>
    <t># of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</si>
</sst>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yy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" fontId="3" fillId="0" borderId="1" xfId="0" applyNumberFormat="1" applyFont="1" applyBorder="1"/>
    <xf numFmtId="16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1" defaultTableStyle="TableStyleMedium9" defaultPivotStyle="PivotStyleLight16">
    <tableStyle name="Invisible" pivot="0" table="0" count="0" xr9:uid="{2BB79011-4C7D-4A70-9D02-1BD8342C64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8.7109375" defaultRowHeight="14.25"/>
  <cols>
    <col min="1" max="1" width="14" style="3" customWidth="1"/>
    <col min="2" max="2" width="31.140625" style="3" customWidth="1"/>
    <col min="3" max="3" width="36" style="3" customWidth="1"/>
    <col min="4" max="16384" width="8.7109375" style="3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9">
        <v>46093</v>
      </c>
      <c r="B2" s="5" t="s">
        <v>3</v>
      </c>
      <c r="C2" s="4"/>
    </row>
    <row r="3" spans="1:4">
      <c r="A3" s="9">
        <v>46099</v>
      </c>
      <c r="B3" s="5" t="s">
        <v>4</v>
      </c>
      <c r="C3" s="4"/>
    </row>
    <row r="4" spans="1:4">
      <c r="A4" s="9">
        <v>46090</v>
      </c>
      <c r="B4" s="5" t="s">
        <v>5</v>
      </c>
      <c r="C4" s="4"/>
    </row>
    <row r="5" spans="1:4">
      <c r="A5" s="9">
        <v>46099</v>
      </c>
      <c r="B5" s="5" t="s">
        <v>6</v>
      </c>
      <c r="C5" s="4"/>
    </row>
    <row r="6" spans="1:4">
      <c r="A6" s="9">
        <v>46099</v>
      </c>
      <c r="B6" s="5" t="s">
        <v>7</v>
      </c>
      <c r="C6" s="4"/>
    </row>
    <row r="7" spans="1:4">
      <c r="A7" s="9">
        <v>46097</v>
      </c>
      <c r="B7" s="5" t="s">
        <v>8</v>
      </c>
      <c r="C7" s="4"/>
    </row>
    <row r="8" spans="1:4">
      <c r="A8" s="9">
        <v>46097</v>
      </c>
      <c r="B8" s="5" t="s">
        <v>9</v>
      </c>
      <c r="C8" s="4"/>
    </row>
    <row r="9" spans="1:4">
      <c r="A9" s="4"/>
      <c r="B9" s="5" t="s">
        <v>10</v>
      </c>
      <c r="C9" s="4"/>
    </row>
    <row r="10" spans="1:4">
      <c r="A10" s="9">
        <v>46098</v>
      </c>
      <c r="B10" s="4" t="s">
        <v>11</v>
      </c>
      <c r="C10" s="4"/>
      <c r="D10" s="3" t="s">
        <v>12</v>
      </c>
    </row>
    <row r="11" spans="1:4">
      <c r="A11" s="9">
        <v>46097</v>
      </c>
      <c r="B11" s="5" t="s">
        <v>13</v>
      </c>
      <c r="C11" s="4"/>
    </row>
    <row r="12" spans="1:4">
      <c r="A12" s="4"/>
      <c r="B12" s="5" t="s">
        <v>14</v>
      </c>
      <c r="C12" s="4"/>
    </row>
    <row r="13" spans="1:4">
      <c r="A13" s="9">
        <v>46087</v>
      </c>
      <c r="B13" s="5" t="s">
        <v>15</v>
      </c>
      <c r="C13" s="4"/>
    </row>
    <row r="14" spans="1:4">
      <c r="A14" s="9">
        <v>46097</v>
      </c>
      <c r="B14" s="5" t="s">
        <v>16</v>
      </c>
      <c r="C14" s="4"/>
    </row>
    <row r="15" spans="1:4">
      <c r="A15" s="4"/>
      <c r="B15" s="4" t="s">
        <v>17</v>
      </c>
      <c r="C15" s="4"/>
    </row>
    <row r="16" spans="1:4">
      <c r="A16" s="4"/>
      <c r="B16" s="4" t="s">
        <v>18</v>
      </c>
      <c r="C16" s="4"/>
    </row>
    <row r="17" spans="1:3">
      <c r="A17" s="4"/>
      <c r="B17" s="4" t="s">
        <v>19</v>
      </c>
      <c r="C17" s="4"/>
    </row>
    <row r="18" spans="1:3">
      <c r="A18" s="4"/>
      <c r="B18" s="4" t="s">
        <v>20</v>
      </c>
      <c r="C18" s="4"/>
    </row>
  </sheetData>
  <pageMargins left="0.75" right="0.75" top="1" bottom="1" header="0.5" footer="0.5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errorTitle="Invalid entry" error="Select a technician from the list." promptTitle="Choose technician" prompt="Pick a name from the drop-down list." xr:uid="{00000000-0002-0000-0000-000000000000}">
          <x14:formula1>
            <xm:f>'Tech Roster'!$A$2:$A$14</xm:f>
          </x14:formula1>
          <xm:sqref>B10 B15:B998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3" activePane="bottomLeft" state="frozen"/>
      <selection pane="bottomLeft" activeCell="E5" sqref="E5"/>
    </sheetView>
  </sheetViews>
  <sheetFormatPr defaultRowHeight="15"/>
  <cols>
    <col min="1" max="1" width="28.28515625" bestFit="1" customWidth="1"/>
    <col min="3" max="3" width="13.42578125" customWidth="1"/>
    <col min="5" max="5" width="90" customWidth="1"/>
  </cols>
  <sheetData>
    <row r="1" spans="1:5">
      <c r="A1" s="1" t="s">
        <v>1</v>
      </c>
      <c r="B1" s="1" t="s">
        <v>21</v>
      </c>
      <c r="C1" s="1" t="s">
        <v>22</v>
      </c>
      <c r="E1" s="1" t="s">
        <v>23</v>
      </c>
    </row>
    <row r="2" spans="1:5" ht="27.75">
      <c r="A2" s="5" t="s">
        <v>3</v>
      </c>
      <c r="B2" s="6" t="str">
        <f>IF(COUNTIFS(Inspections!$B:$B,A2,Inspections!$A:$A,"&gt;0")&gt;0,"Yes","No")</f>
        <v>Yes</v>
      </c>
      <c r="C2" s="7">
        <v>46093</v>
      </c>
      <c r="D2" s="6"/>
      <c r="E2" s="8" t="s">
        <v>24</v>
      </c>
    </row>
    <row r="3" spans="1:5">
      <c r="A3" s="5" t="s">
        <v>4</v>
      </c>
      <c r="B3" s="6" t="str">
        <f>IF(COUNTIFS(Inspections!$B:$B,A3,Inspections!$A:$A,"&gt;0")&gt;0,"Yes","No")</f>
        <v>Yes</v>
      </c>
      <c r="C3" s="7">
        <f>IFERROR(_xlfn.SINGLE(_xlfn.AGGREGATE(14, 6, _xlfn.SINGLE(Inspections!$A:$A) / (_xlfn.SINGLE(Inspections!$B:$B) = A3), 1)), "")</f>
        <v>46099</v>
      </c>
      <c r="D3" s="6"/>
      <c r="E3" s="6"/>
    </row>
    <row r="4" spans="1:5">
      <c r="A4" s="5" t="s">
        <v>5</v>
      </c>
      <c r="B4" s="6" t="str">
        <f>IF(COUNTIFS(Inspections!$B:$B,A4,Inspections!$A:$A,"&gt;0")&gt;0,"Yes","No")</f>
        <v>Yes</v>
      </c>
      <c r="C4" s="7">
        <v>46090</v>
      </c>
      <c r="D4" s="6"/>
      <c r="E4" s="6"/>
    </row>
    <row r="5" spans="1:5">
      <c r="A5" s="5" t="s">
        <v>6</v>
      </c>
      <c r="B5" s="6" t="str">
        <f>IF(COUNTIFS(Inspections!$B:$B,A5,Inspections!$A:$A,"&gt;0")&gt;0,"Yes","No")</f>
        <v>Yes</v>
      </c>
      <c r="C5" s="7"/>
      <c r="D5" s="6"/>
      <c r="E5" s="6"/>
    </row>
    <row r="6" spans="1:5">
      <c r="A6" s="5" t="s">
        <v>7</v>
      </c>
      <c r="B6" s="6" t="str">
        <f>IF(COUNTIFS(Inspections!$B:$B,A6,Inspections!$A:$A,"&gt;0")&gt;0,"Yes","No")</f>
        <v>Yes</v>
      </c>
      <c r="C6" s="7">
        <f>IFERROR(_xlfn.SINGLE(_xlfn.AGGREGATE(14, 6, _xlfn.SINGLE(Inspections!$A:$A) / (_xlfn.SINGLE(Inspections!$B:$B) = A6), 1)), "")</f>
        <v>46099</v>
      </c>
      <c r="D6" s="6"/>
      <c r="E6" s="6"/>
    </row>
    <row r="7" spans="1:5">
      <c r="A7" s="5" t="s">
        <v>8</v>
      </c>
      <c r="B7" s="6" t="str">
        <f>IF(COUNTIFS(Inspections!$B:$B,A7,Inspections!$A:$A,"&gt;0")&gt;0,"Yes","No")</f>
        <v>Yes</v>
      </c>
      <c r="C7" s="7">
        <v>46097</v>
      </c>
      <c r="D7" s="6"/>
      <c r="E7" s="6"/>
    </row>
    <row r="8" spans="1:5">
      <c r="A8" s="5" t="s">
        <v>9</v>
      </c>
      <c r="B8" s="6" t="str">
        <f>IF(COUNTIFS(Inspections!$B:$B,A8,Inspections!$A:$A,"&gt;0")&gt;0,"Yes","No")</f>
        <v>Yes</v>
      </c>
      <c r="C8" s="7">
        <f>IFERROR(_xlfn.SINGLE(_xlfn.AGGREGATE(14, 6, _xlfn.SINGLE(Inspections!$A:$A) / (_xlfn.SINGLE(Inspections!$B:$B) = A8), 1)), "")</f>
        <v>46097</v>
      </c>
      <c r="D8" s="6"/>
      <c r="E8" s="6"/>
    </row>
    <row r="9" spans="1:5">
      <c r="A9" s="5" t="s">
        <v>10</v>
      </c>
      <c r="B9" s="6" t="str">
        <f>IF(COUNTIFS(Inspections!$B:$B,A9,Inspections!$A:$A,"&gt;0")&gt;0,"Yes","No")</f>
        <v>No</v>
      </c>
      <c r="C9" s="7">
        <f>IFERROR(_xlfn.SINGLE(_xlfn.AGGREGATE(14, 6, _xlfn.SINGLE(Inspections!$A:$A) / (_xlfn.SINGLE(Inspections!$B:$B) = A9), 1)), "")</f>
        <v>0</v>
      </c>
      <c r="D9" s="6"/>
      <c r="E9" s="6"/>
    </row>
    <row r="10" spans="1:5">
      <c r="A10" s="5" t="s">
        <v>13</v>
      </c>
      <c r="B10" s="6" t="str">
        <f>IF(COUNTIFS(Inspections!$B:$B,A10,Inspections!$A:$A,"&gt;0")&gt;0,"Yes","No")</f>
        <v>Yes</v>
      </c>
      <c r="C10" s="7">
        <v>46097</v>
      </c>
      <c r="D10" s="6"/>
      <c r="E10" s="6"/>
    </row>
    <row r="11" spans="1:5">
      <c r="A11" s="4" t="s">
        <v>11</v>
      </c>
      <c r="B11" s="6" t="s">
        <v>25</v>
      </c>
      <c r="C11" s="10">
        <v>46099</v>
      </c>
      <c r="D11" s="6"/>
      <c r="E11" s="6"/>
    </row>
    <row r="12" spans="1:5">
      <c r="A12" s="5" t="s">
        <v>14</v>
      </c>
      <c r="B12" s="6" t="str">
        <f>IF(COUNTIFS(Inspections!$B:$B,A12,Inspections!$A:$A,"&gt;0")&gt;0,"Yes","No")</f>
        <v>No</v>
      </c>
      <c r="C12" s="7">
        <f>IFERROR(_xlfn.SINGLE(_xlfn.AGGREGATE(14, 6, _xlfn.SINGLE(Inspections!$A:$A) / (_xlfn.SINGLE(Inspections!$B:$B) = A12), 1)), "")</f>
        <v>0</v>
      </c>
      <c r="D12" s="6"/>
      <c r="E12" s="6"/>
    </row>
    <row r="13" spans="1:5">
      <c r="A13" s="5" t="s">
        <v>15</v>
      </c>
      <c r="B13" s="6" t="str">
        <f>IF(COUNTIFS(Inspections!$B:$B,A13,Inspections!$A:$A,"&gt;0")&gt;0,"Yes","No")</f>
        <v>Yes</v>
      </c>
      <c r="C13" s="7">
        <v>46087</v>
      </c>
      <c r="D13" s="6"/>
      <c r="E13" s="6"/>
    </row>
    <row r="14" spans="1:5">
      <c r="A14" s="5" t="s">
        <v>16</v>
      </c>
      <c r="B14" s="6" t="str">
        <f>IF(COUNTIFS(Inspections!$B:$B,A14,Inspections!$A:$A,"&gt;0")&gt;0,"Yes","No")</f>
        <v>Yes</v>
      </c>
      <c r="C14" s="7">
        <v>46097</v>
      </c>
      <c r="D14" s="6"/>
      <c r="E14" s="6"/>
    </row>
    <row r="15" spans="1:5">
      <c r="A15" s="4" t="s">
        <v>17</v>
      </c>
      <c r="B15" s="6" t="s">
        <v>26</v>
      </c>
      <c r="C15" s="6"/>
      <c r="D15" s="6"/>
      <c r="E15" s="6"/>
    </row>
    <row r="16" spans="1:5">
      <c r="A16" s="4" t="s">
        <v>18</v>
      </c>
      <c r="B16" s="6" t="s">
        <v>26</v>
      </c>
      <c r="C16" s="6"/>
      <c r="D16" s="6"/>
      <c r="E16" s="6"/>
    </row>
    <row r="17" spans="1:5">
      <c r="A17" s="4" t="s">
        <v>19</v>
      </c>
      <c r="B17" s="6" t="s">
        <v>26</v>
      </c>
      <c r="C17" s="6"/>
      <c r="D17" s="6"/>
      <c r="E17" s="6"/>
    </row>
    <row r="18" spans="1:5">
      <c r="A18" s="4" t="s">
        <v>20</v>
      </c>
      <c r="B18" s="6" t="s">
        <v>26</v>
      </c>
      <c r="C18" s="6"/>
      <c r="D18" s="6"/>
      <c r="E18" s="6"/>
    </row>
    <row r="19" spans="1:5">
      <c r="C19" s="11">
        <v>5</v>
      </c>
    </row>
  </sheetData>
  <conditionalFormatting sqref="A2:C10 A12:C14">
    <cfRule type="expression" dxfId="1" priority="1">
      <formula>$B2="Yes"</formula>
    </cfRule>
  </conditionalFormatting>
  <dataValidations count="1">
    <dataValidation type="list" allowBlank="1" showDropDown="1" errorTitle="Invalid entry" error="Select a technician from the list." promptTitle="Choose technician" prompt="Pick a name from the drop-down list." sqref="A15:A17 A18 A11" xr:uid="{9A5722A2-3B57-45E4-85A6-DCD6FAC60298}">
      <formula1>$A$2:$A$14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 activeCell="F13" sqref="F13"/>
    </sheetView>
  </sheetViews>
  <sheetFormatPr defaultRowHeight="15"/>
  <cols>
    <col min="1" max="1" width="26.42578125" customWidth="1"/>
    <col min="2" max="2" width="13.7109375" customWidth="1"/>
  </cols>
  <sheetData>
    <row r="1" spans="1:2">
      <c r="A1" s="1" t="s">
        <v>1</v>
      </c>
      <c r="B1" s="1" t="s">
        <v>27</v>
      </c>
    </row>
    <row r="2" spans="1:2">
      <c r="A2" s="5" t="s">
        <v>3</v>
      </c>
      <c r="B2">
        <f>COUNTIFS(Inspections!$B:$B,A2,Inspections!$A:$A,"&gt;0")</f>
        <v>1</v>
      </c>
    </row>
    <row r="3" spans="1:2">
      <c r="A3" s="5" t="s">
        <v>4</v>
      </c>
      <c r="B3">
        <f>COUNTIFS(Inspections!$B:$B,A3,Inspections!$A:$A,"&gt;0")</f>
        <v>1</v>
      </c>
    </row>
    <row r="4" spans="1:2">
      <c r="A4" s="5" t="s">
        <v>5</v>
      </c>
      <c r="B4">
        <f>COUNTIFS(Inspections!$B:$B,A4,Inspections!$A:$A,"&gt;0")</f>
        <v>1</v>
      </c>
    </row>
    <row r="5" spans="1:2">
      <c r="A5" s="5" t="s">
        <v>6</v>
      </c>
      <c r="B5">
        <f>COUNTIFS(Inspections!$B:$B,A5,Inspections!$A:$A,"&gt;0")</f>
        <v>1</v>
      </c>
    </row>
    <row r="6" spans="1:2">
      <c r="A6" s="5" t="s">
        <v>7</v>
      </c>
      <c r="B6">
        <f>COUNTIFS(Inspections!$B:$B,A6,Inspections!$A:$A,"&gt;0")</f>
        <v>1</v>
      </c>
    </row>
    <row r="7" spans="1:2">
      <c r="A7" s="5" t="s">
        <v>8</v>
      </c>
      <c r="B7">
        <f>COUNTIFS(Inspections!$B:$B,A7,Inspections!$A:$A,"&gt;0")</f>
        <v>1</v>
      </c>
    </row>
    <row r="8" spans="1:2">
      <c r="A8" s="5" t="s">
        <v>9</v>
      </c>
      <c r="B8">
        <f>COUNTIFS(Inspections!$B:$B,A8,Inspections!$A:$A,"&gt;0")</f>
        <v>1</v>
      </c>
    </row>
    <row r="9" spans="1:2">
      <c r="A9" s="5" t="s">
        <v>10</v>
      </c>
      <c r="B9">
        <f>COUNTIFS(Inspections!$B:$B,A9,Inspections!$A:$A,"&gt;0")</f>
        <v>0</v>
      </c>
    </row>
    <row r="10" spans="1:2">
      <c r="A10" s="4" t="s">
        <v>11</v>
      </c>
      <c r="B10">
        <v>6</v>
      </c>
    </row>
    <row r="11" spans="1:2">
      <c r="A11" s="5" t="s">
        <v>13</v>
      </c>
      <c r="B11">
        <f>COUNTIFS(Inspections!$B:$B,A11,Inspections!$A:$A,"&gt;0")</f>
        <v>1</v>
      </c>
    </row>
    <row r="12" spans="1:2">
      <c r="A12" s="5" t="s">
        <v>14</v>
      </c>
      <c r="B12">
        <f>COUNTIFS(Inspections!$B:$B,A12,Inspections!$A:$A,"&gt;0")</f>
        <v>0</v>
      </c>
    </row>
    <row r="13" spans="1:2">
      <c r="A13" s="5" t="s">
        <v>15</v>
      </c>
      <c r="B13">
        <f>COUNTIFS(Inspections!$B:$B,A13,Inspections!$A:$A,"&gt;0")</f>
        <v>1</v>
      </c>
    </row>
    <row r="14" spans="1:2">
      <c r="A14" s="5" t="s">
        <v>16</v>
      </c>
      <c r="B14">
        <f>COUNTIFS(Inspections!$B:$B,A14,Inspections!$A:$A,"&gt;0")</f>
        <v>1</v>
      </c>
    </row>
    <row r="15" spans="1:2">
      <c r="A15" s="4" t="s">
        <v>17</v>
      </c>
      <c r="B15">
        <v>0</v>
      </c>
    </row>
    <row r="16" spans="1:2">
      <c r="A16" s="4" t="s">
        <v>18</v>
      </c>
      <c r="B16">
        <v>0</v>
      </c>
    </row>
    <row r="17" spans="1:2">
      <c r="A17" s="4" t="s">
        <v>19</v>
      </c>
      <c r="B17">
        <v>0</v>
      </c>
    </row>
    <row r="18" spans="1:2">
      <c r="A18" s="4" t="s">
        <v>20</v>
      </c>
      <c r="B18">
        <v>0</v>
      </c>
    </row>
  </sheetData>
  <conditionalFormatting sqref="A2:A9 A11:A14">
    <cfRule type="expression" dxfId="0" priority="1">
      <formula>$B2="Yes"</formula>
    </cfRule>
  </conditionalFormatting>
  <dataValidations count="1">
    <dataValidation type="list" allowBlank="1" showDropDown="1" errorTitle="Invalid entry" error="Select a technician from the list." promptTitle="Choose technician" prompt="Pick a name from the drop-down list." sqref="A15:A17 A18 A10" xr:uid="{394D442A-E9CE-456D-AA79-AD1687C26F77}">
      <formula1>$A$2:$A$14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5F52CF402C439B5735B87C364718" ma:contentTypeVersion="19" ma:contentTypeDescription="Create a new document." ma:contentTypeScope="" ma:versionID="0ac781fb46204f21797ef0e685977965">
  <xsd:schema xmlns:xsd="http://www.w3.org/2001/XMLSchema" xmlns:xs="http://www.w3.org/2001/XMLSchema" xmlns:p="http://schemas.microsoft.com/office/2006/metadata/properties" xmlns:ns2="fed82b9f-8177-4bf7-b25b-15476e5ec4a8" xmlns:ns3="f593fd67-5b03-4606-99ec-41f2ba48eaaf" targetNamespace="http://schemas.microsoft.com/office/2006/metadata/properties" ma:root="true" ma:fieldsID="3d98340b6ef1b7c67294834629419c03" ns2:_="" ns3:_="">
    <xsd:import namespace="fed82b9f-8177-4bf7-b25b-15476e5ec4a8"/>
    <xsd:import namespace="f593fd67-5b03-4606-99ec-41f2ba48ea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LINKTOSELFQCFOL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82b9f-8177-4bf7-b25b-15476e5ec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f121d85-d405-4132-a297-e6ffc60df9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INKTOSELFQCFOLDER" ma:index="26" nillable="true" ma:displayName="LINK TO SELF QC FOLDER" ma:format="Hyperlink" ma:internalName="LINKTOSELFQC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3fd67-5b03-4606-99ec-41f2ba48eaa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736c9ef-c30d-4c65-96c5-2160835e1ec3}" ma:internalName="TaxCatchAll" ma:showField="CatchAllData" ma:web="f593fd67-5b03-4606-99ec-41f2ba48ea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TOSELFQCFOLDER xmlns="fed82b9f-8177-4bf7-b25b-15476e5ec4a8">
      <Url xsi:nil="true"/>
      <Description xsi:nil="true"/>
    </LINKTOSELFQCFOLDER>
    <TaxCatchAll xmlns="f593fd67-5b03-4606-99ec-41f2ba48eaaf" xsi:nil="true"/>
    <lcf76f155ced4ddcb4097134ff3c332f xmlns="fed82b9f-8177-4bf7-b25b-15476e5ec4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611279-3EA7-4A18-8625-D7DA395057A1}"/>
</file>

<file path=customXml/itemProps2.xml><?xml version="1.0" encoding="utf-8"?>
<ds:datastoreItem xmlns:ds="http://schemas.openxmlformats.org/officeDocument/2006/customXml" ds:itemID="{337FB211-B620-4689-AA9B-CEC21FC73D44}"/>
</file>

<file path=customXml/itemProps3.xml><?xml version="1.0" encoding="utf-8"?>
<ds:datastoreItem xmlns:ds="http://schemas.openxmlformats.org/officeDocument/2006/customXml" ds:itemID="{548E007D-5273-4604-A11B-329E28F36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Cox, Samuel</cp:lastModifiedBy>
  <cp:revision/>
  <dcterms:created xsi:type="dcterms:W3CDTF">2026-03-17T15:53:28Z</dcterms:created>
  <dcterms:modified xsi:type="dcterms:W3CDTF">2026-03-20T16:38:40Z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0x010100AA335F52CF402C439B5735B87C364718</vt:lpwstr>
  </property>
  <property fmtid="{D5CDD505-2E9C-101B-9397-08002B2CF9AE}" pid="3" name="MediaServiceImageTags">
    <vt:lpwstr/>
  </property>
</Properties>
</file>